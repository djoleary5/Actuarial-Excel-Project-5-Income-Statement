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\Documents\Actuary\Projects\"/>
    </mc:Choice>
  </mc:AlternateContent>
  <xr:revisionPtr revIDLastSave="0" documentId="13_ncr:1_{B1D28821-814D-46D3-B446-AAEA2AB02A22}" xr6:coauthVersionLast="47" xr6:coauthVersionMax="47" xr10:uidLastSave="{00000000-0000-0000-0000-000000000000}"/>
  <bookViews>
    <workbookView xWindow="-120" yWindow="-120" windowWidth="20730" windowHeight="11160" xr2:uid="{5D57806C-FF20-6B42-9DF8-59469BA0678D}"/>
  </bookViews>
  <sheets>
    <sheet name="2021 Income Stmt &amp; Projection" sheetId="1" r:id="rId1"/>
  </sheets>
  <externalReferences>
    <externalReference r:id="rId2"/>
  </externalReferences>
  <definedNames>
    <definedName name="calc_lookup">'[1]Scenario Testing'!$C$7:$E$12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1" l="1"/>
  <c r="F13" i="1"/>
  <c r="G13" i="1"/>
  <c r="D13" i="1"/>
  <c r="E6" i="1"/>
  <c r="E14" i="1" s="1"/>
  <c r="F6" i="1"/>
  <c r="F14" i="1" s="1"/>
  <c r="G6" i="1"/>
  <c r="G14" i="1" s="1"/>
  <c r="D6" i="1"/>
  <c r="D14" i="1" s="1"/>
</calcChain>
</file>

<file path=xl/sharedStrings.xml><?xml version="1.0" encoding="utf-8"?>
<sst xmlns="http://schemas.openxmlformats.org/spreadsheetml/2006/main" count="22" uniqueCount="18">
  <si>
    <t>Income Statement</t>
  </si>
  <si>
    <t>Revenue</t>
  </si>
  <si>
    <t>Gross Premiums</t>
  </si>
  <si>
    <t>Premiums Ceded to Reinsurers</t>
  </si>
  <si>
    <t>Investment Income</t>
  </si>
  <si>
    <t>Total Revenue</t>
  </si>
  <si>
    <t>Expenses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</si>
  <si>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</si>
  <si>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</si>
  <si>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</si>
  <si>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</si>
  <si>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</si>
  <si>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</si>
  <si>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</si>
  <si>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</si>
  <si>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</si>
  <si>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In Thousands</t>
  </si>
  <si>
    <t>Please enter interest 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</si>
</sst>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74" formatCode="0.00000000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double">
        <color indexed="64"/>
      </bottom>
      <diagonal/>
    </border>
    <border>
      <left/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1" fillId="0" borderId="8" xfId="0" applyFont="1" applyBorder="1"/>
    <xf numFmtId="0" fontId="1" fillId="0" borderId="6" xfId="0" applyFont="1" applyBorder="1"/>
    <xf numFmtId="0" fontId="0" fillId="0" borderId="1" xfId="0" applyBorder="1"/>
    <xf numFmtId="0" fontId="0" fillId="0" borderId="3" xfId="0" applyBorder="1"/>
    <xf numFmtId="0" fontId="0" fillId="0" borderId="7" xfId="0" applyBorder="1"/>
    <xf numFmtId="0" fontId="1" fillId="0" borderId="9" xfId="0" applyFont="1" applyBorder="1"/>
    <xf numFmtId="0" fontId="1" fillId="0" borderId="17" xfId="0" applyFont="1" applyBorder="1"/>
    <xf numFmtId="165" fontId="0" fillId="0" borderId="2" xfId="1" applyNumberFormat="1" applyFont="1" applyBorder="1"/>
    <xf numFmtId="165" fontId="0" fillId="0" borderId="5" xfId="1" applyNumberFormat="1" applyFont="1" applyFill="1" applyBorder="1"/>
    <xf numFmtId="165" fontId="1" fillId="0" borderId="16" xfId="1" applyNumberFormat="1" applyFont="1" applyBorder="1"/>
    <xf numFmtId="165" fontId="0" fillId="0" borderId="10" xfId="1" applyNumberFormat="1" applyFont="1" applyFill="1" applyBorder="1"/>
    <xf numFmtId="165" fontId="0" fillId="0" borderId="11" xfId="1" applyNumberFormat="1" applyFont="1" applyBorder="1"/>
    <xf numFmtId="165" fontId="0" fillId="0" borderId="12" xfId="1" applyNumberFormat="1" applyFont="1" applyFill="1" applyBorder="1"/>
    <xf numFmtId="165" fontId="0" fillId="0" borderId="12" xfId="1" applyNumberFormat="1" applyFont="1" applyBorder="1"/>
    <xf numFmtId="165" fontId="0" fillId="0" borderId="13" xfId="1" applyNumberFormat="1" applyFont="1" applyFill="1" applyBorder="1"/>
    <xf numFmtId="165" fontId="1" fillId="0" borderId="14" xfId="1" applyNumberFormat="1" applyFont="1" applyBorder="1"/>
    <xf numFmtId="165" fontId="1" fillId="0" borderId="15" xfId="1" applyNumberFormat="1" applyFont="1" applyBorder="1"/>
    <xf numFmtId="165" fontId="4" fillId="0" borderId="4" xfId="1" applyNumberFormat="1" applyFont="1" applyBorder="1"/>
    <xf numFmtId="165" fontId="4" fillId="0" borderId="12" xfId="1" applyNumberFormat="1" applyFont="1" applyBorder="1"/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0" fontId="0" fillId="0" borderId="8" xfId="2" applyNumberFormat="1" applyFont="1" applyBorder="1"/>
    <xf numFmtId="17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15</xdr:row>
          <xdr:rowOff>9525</xdr:rowOff>
        </xdr:from>
        <xdr:to>
          <xdr:col>5</xdr:col>
          <xdr:colOff>819150</xdr:colOff>
          <xdr:row>17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an/Downloads/Excel%20Ninja%20Fall%20Projec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come Statement"/>
      <sheetName val="Scenario Testing"/>
    </sheetNames>
    <sheetDataSet>
      <sheetData sheetId="0"/>
      <sheetData sheetId="1">
        <row r="7">
          <cell r="C7">
            <v>0.05</v>
          </cell>
          <cell r="D7">
            <v>-2.5000000000000001E-3</v>
          </cell>
          <cell r="E7">
            <v>0.99750000000000005</v>
          </cell>
        </row>
        <row r="8">
          <cell r="C8">
            <v>0.06</v>
          </cell>
          <cell r="D8">
            <v>6.2500000000000003E-3</v>
          </cell>
          <cell r="E8">
            <v>1.0062500000000001</v>
          </cell>
        </row>
        <row r="9">
          <cell r="C9">
            <v>7.0000000000000007E-2</v>
          </cell>
          <cell r="D9">
            <v>0.01</v>
          </cell>
          <cell r="E9">
            <v>1.01</v>
          </cell>
        </row>
        <row r="10">
          <cell r="C10">
            <v>0.08</v>
          </cell>
          <cell r="D10">
            <v>1.4999999999999999E-2</v>
          </cell>
          <cell r="E10">
            <v>1.0149999999999999</v>
          </cell>
        </row>
        <row r="11">
          <cell r="C11">
            <v>8.5000000000000006E-2</v>
          </cell>
          <cell r="D11">
            <v>0.02</v>
          </cell>
          <cell r="E11">
            <v>1.02</v>
          </cell>
        </row>
        <row r="12">
          <cell r="C12">
            <v>0.09</v>
          </cell>
          <cell r="D12">
            <v>-7.0000000000000001E-3</v>
          </cell>
          <cell r="E12">
            <v>0.99299999999999999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E20E9-FA75-294E-B851-33629C329712}">
  <sheetPr codeName="Sheet1"/>
  <dimension ref="A1:G26"/>
  <sheetViews>
    <sheetView tabSelected="1" workbookViewId="0">
      <selection activeCell="G5" sqref="G5"/>
    </sheetView>
  </sheetViews>
  <sheetFormatPr defaultColWidth="11" defaultRowHeight="15.75" x14ac:dyDescent="0.25"/>
  <cols>
    <col min="2" max="2" width="35.625" bestFit="1" customWidth="1"/>
    <col min="3" max="3" width="12" bestFit="1" customWidth="1"/>
  </cols>
  <sheetData>
    <row r="1" spans="1:7" ht="28.5" x14ac:dyDescent="0.45">
      <c r="B1" s="1" t="s">
        <v>0</v>
      </c>
      <c r="C1" t="s">
        <v>16</v>
      </c>
      <c r="D1" t="s">
        <v>16</v>
      </c>
      <c r="E1" t="s">
        <v>16</v>
      </c>
      <c r="F1" t="s">
        <v>16</v>
      </c>
      <c r="G1" t="s">
        <v>16</v>
      </c>
    </row>
    <row r="2" spans="1:7" x14ac:dyDescent="0.25">
      <c r="C2" s="2">
        <v>2021</v>
      </c>
      <c r="D2" s="2">
        <v>2022</v>
      </c>
      <c r="E2" s="2">
        <v>2023</v>
      </c>
      <c r="F2" s="2">
        <v>2024</v>
      </c>
      <c r="G2" s="2">
        <v>2025</v>
      </c>
    </row>
    <row r="3" spans="1:7" x14ac:dyDescent="0.25">
      <c r="A3" s="25" t="s">
        <v>1</v>
      </c>
      <c r="B3" s="3" t="s">
        <v>2</v>
      </c>
      <c r="C3" s="13">
        <v>45677</v>
      </c>
      <c r="D3" s="13">
        <v>47047.31</v>
      </c>
      <c r="E3" s="13">
        <v>48458.729299999999</v>
      </c>
      <c r="F3" s="13">
        <v>49912.491178999997</v>
      </c>
      <c r="G3" s="13">
        <v>51409.865914369999</v>
      </c>
    </row>
    <row r="4" spans="1:7" x14ac:dyDescent="0.25">
      <c r="A4" s="26"/>
      <c r="B4" s="4" t="s">
        <v>3</v>
      </c>
      <c r="C4" s="23">
        <v>-65007</v>
      </c>
      <c r="D4" s="23">
        <v>-65657.070000000007</v>
      </c>
      <c r="E4" s="23">
        <v>-66313.640700000004</v>
      </c>
      <c r="F4" s="23">
        <v>-66976.777107000002</v>
      </c>
      <c r="G4" s="23">
        <v>-67646.544878069995</v>
      </c>
    </row>
    <row r="5" spans="1:7" ht="16.5" thickBot="1" x14ac:dyDescent="0.3">
      <c r="A5" s="26"/>
      <c r="B5" s="5" t="s">
        <v>4</v>
      </c>
      <c r="C5" s="14">
        <v>567485</v>
      </c>
      <c r="D5" s="14">
        <v>568619.97</v>
      </c>
      <c r="E5" s="14">
        <v>569757.20993999997</v>
      </c>
      <c r="F5" s="14">
        <v>570896.72435987997</v>
      </c>
      <c r="G5" s="14">
        <v>572038.51780859975</v>
      </c>
    </row>
    <row r="6" spans="1:7" ht="16.5" thickTop="1" x14ac:dyDescent="0.25">
      <c r="A6" s="27"/>
      <c r="B6" s="7" t="s">
        <v>5</v>
      </c>
      <c r="C6" s="15">
        <v>548155</v>
      </c>
      <c r="D6" s="15">
        <f>SUM(D3:D5)</f>
        <v>550010.21</v>
      </c>
      <c r="E6" s="15">
        <f t="shared" ref="E6:G6" si="0">SUM(E3:E5)</f>
        <v>551902.29853999999</v>
      </c>
      <c r="F6" s="15">
        <f t="shared" si="0"/>
        <v>553832.43843187997</v>
      </c>
      <c r="G6" s="15">
        <f t="shared" si="0"/>
        <v>555801.83884489979</v>
      </c>
    </row>
    <row r="7" spans="1:7" x14ac:dyDescent="0.25">
      <c r="A7" s="25" t="s">
        <v>6</v>
      </c>
      <c r="B7" s="8" t="s">
        <v>7</v>
      </c>
      <c r="C7" s="16">
        <v>65583</v>
      </c>
      <c r="D7" s="16">
        <v>64927.17</v>
      </c>
      <c r="E7" s="16">
        <v>64277.898300000001</v>
      </c>
      <c r="F7" s="16">
        <v>63635.119316999997</v>
      </c>
      <c r="G7" s="16">
        <v>62998.768123829999</v>
      </c>
    </row>
    <row r="8" spans="1:7" x14ac:dyDescent="0.25">
      <c r="A8" s="26"/>
      <c r="B8" s="9" t="s">
        <v>8</v>
      </c>
      <c r="C8" s="17">
        <v>55478</v>
      </c>
      <c r="D8" s="17">
        <v>56032.78</v>
      </c>
      <c r="E8" s="17">
        <v>56593.107799999998</v>
      </c>
      <c r="F8" s="17">
        <v>57159.038877999999</v>
      </c>
      <c r="G8" s="17">
        <v>57730.629266780001</v>
      </c>
    </row>
    <row r="9" spans="1:7" x14ac:dyDescent="0.25">
      <c r="A9" s="26"/>
      <c r="B9" s="9" t="s">
        <v>9</v>
      </c>
      <c r="C9" s="18">
        <v>78965</v>
      </c>
      <c r="D9" s="18">
        <v>79359.824999999997</v>
      </c>
      <c r="E9" s="18">
        <v>79756.624124999988</v>
      </c>
      <c r="F9" s="18">
        <v>80155.407245624985</v>
      </c>
      <c r="G9" s="18">
        <v>80556.1842818531</v>
      </c>
    </row>
    <row r="10" spans="1:7" x14ac:dyDescent="0.25">
      <c r="A10" s="26"/>
      <c r="B10" s="9" t="s">
        <v>10</v>
      </c>
      <c r="C10" s="24">
        <v>-2456</v>
      </c>
      <c r="D10" s="24">
        <v>-2478.1039999999998</v>
      </c>
      <c r="E10" s="24">
        <v>-2500.4069359999994</v>
      </c>
      <c r="F10" s="24">
        <v>-2522.9105984239991</v>
      </c>
      <c r="G10" s="24">
        <v>-2545.6167938098147</v>
      </c>
    </row>
    <row r="11" spans="1:7" x14ac:dyDescent="0.25">
      <c r="A11" s="26"/>
      <c r="B11" s="9" t="s">
        <v>11</v>
      </c>
      <c r="C11" s="19">
        <v>3456</v>
      </c>
      <c r="D11" s="19">
        <v>3525.12</v>
      </c>
      <c r="E11" s="19">
        <v>3595.6223999999997</v>
      </c>
      <c r="F11" s="19">
        <v>3667.5348479999998</v>
      </c>
      <c r="G11" s="19">
        <v>3740.8855449600001</v>
      </c>
    </row>
    <row r="12" spans="1:7" ht="16.5" thickBot="1" x14ac:dyDescent="0.3">
      <c r="A12" s="26"/>
      <c r="B12" s="10" t="s">
        <v>12</v>
      </c>
      <c r="C12" s="20">
        <v>2870</v>
      </c>
      <c r="D12" s="20">
        <v>2849.91</v>
      </c>
      <c r="E12" s="20">
        <v>2829.96063</v>
      </c>
      <c r="F12" s="20">
        <v>2810.1509055900001</v>
      </c>
      <c r="G12" s="20">
        <v>2790.4798492508703</v>
      </c>
    </row>
    <row r="13" spans="1:7" ht="17.25" thickTop="1" thickBot="1" x14ac:dyDescent="0.3">
      <c r="A13" s="27"/>
      <c r="B13" s="11" t="s">
        <v>13</v>
      </c>
      <c r="C13" s="21">
        <v>203896</v>
      </c>
      <c r="D13" s="21">
        <f>SUM(D7:D12)</f>
        <v>204216.701</v>
      </c>
      <c r="E13" s="21">
        <f t="shared" ref="E13:G13" si="1">SUM(E7:E12)</f>
        <v>204552.80631899997</v>
      </c>
      <c r="F13" s="21">
        <f t="shared" si="1"/>
        <v>204904.340595791</v>
      </c>
      <c r="G13" s="21">
        <f t="shared" si="1"/>
        <v>205271.33027286417</v>
      </c>
    </row>
    <row r="14" spans="1:7" ht="16.5" thickTop="1" x14ac:dyDescent="0.25">
      <c r="A14" s="6" t="s">
        <v>14</v>
      </c>
      <c r="B14" s="12" t="s">
        <v>15</v>
      </c>
      <c r="C14" s="22">
        <v>344259</v>
      </c>
      <c r="D14" s="22">
        <f>D6-D13</f>
        <v>345793.50899999996</v>
      </c>
      <c r="E14" s="22">
        <f t="shared" ref="E14:G14" si="2">E6-E13</f>
        <v>347349.49222100002</v>
      </c>
      <c r="F14" s="22">
        <f t="shared" si="2"/>
        <v>348928.09783608897</v>
      </c>
      <c r="G14" s="22">
        <f t="shared" si="2"/>
        <v>350530.50857203559</v>
      </c>
    </row>
    <row r="16" spans="1:7" x14ac:dyDescent="0.25">
      <c r="B16" s="6" t="s">
        <v>17</v>
      </c>
      <c r="C16" s="28">
        <v>0</v>
      </c>
    </row>
    <row r="17" spans="3:3" x14ac:dyDescent="0.25">
      <c r="C17" s="29">
        <v>0</v>
      </c>
    </row>
    <row r="18" spans="3:3" x14ac:dyDescent="0.25">
      <c r="C18" s="29">
        <v>0.03</v>
      </c>
    </row>
    <row r="19" spans="3:3" x14ac:dyDescent="0.25">
      <c r="C19" s="29">
        <v>0.01</v>
      </c>
    </row>
    <row r="20" spans="3:3" x14ac:dyDescent="0.25">
      <c r="C20" s="29">
        <v>2E-3</v>
      </c>
    </row>
    <row r="21" spans="3:3" x14ac:dyDescent="0.25">
      <c r="C21" s="29">
        <v>-0.01</v>
      </c>
    </row>
    <row r="22" spans="3:3" x14ac:dyDescent="0.25">
      <c r="C22" s="29">
        <v>0.01</v>
      </c>
    </row>
    <row r="23" spans="3:3" x14ac:dyDescent="0.25">
      <c r="C23" s="29">
        <v>5.0000000000000001E-3</v>
      </c>
    </row>
    <row r="24" spans="3:3" x14ac:dyDescent="0.25">
      <c r="C24" s="29">
        <v>8.9999999999999993E-3</v>
      </c>
    </row>
    <row r="25" spans="3:3" x14ac:dyDescent="0.25">
      <c r="C25" s="29">
        <v>0.02</v>
      </c>
    </row>
    <row r="26" spans="3:3" x14ac:dyDescent="0.25">
      <c r="C26" s="29">
        <v>-7.0000000000000001E-3</v>
      </c>
    </row>
  </sheetData>
  <mergeCells count="2">
    <mergeCell ref="A3:A6"/>
    <mergeCell ref="A7:A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">
                <anchor moveWithCells="1" sizeWithCells="1">
                  <from>
                    <xdr:col>4</xdr:col>
                    <xdr:colOff>9525</xdr:colOff>
                    <xdr:row>15</xdr:row>
                    <xdr:rowOff>9525</xdr:rowOff>
                  </from>
                  <to>
                    <xdr:col>5</xdr:col>
                    <xdr:colOff>819150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2021 Income Stmt &amp;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Innes</dc:creator>
  <cp:lastModifiedBy>Dennis O'Leary</cp:lastModifiedBy>
  <dcterms:created xsi:type="dcterms:W3CDTF">2021-09-19T01:10:25Z</dcterms:created>
  <dcterms:modified xsi:type="dcterms:W3CDTF">2022-07-11T12:49:29Z</dcterms:modified>
</cp:coreProperties>
</file>